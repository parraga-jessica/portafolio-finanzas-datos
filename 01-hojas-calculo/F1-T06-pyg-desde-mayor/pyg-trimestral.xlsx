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YOR" sheetId="1" r:id="rId5"/>
    <sheet state="visible" name="PYG" sheetId="2" r:id="rId6"/>
  </sheets>
  <definedNames/>
  <calcPr/>
</workbook>
</file>

<file path=xl/sharedStrings.xml><?xml version="1.0" encoding="utf-8"?>
<sst xmlns="http://schemas.openxmlformats.org/spreadsheetml/2006/main" count="103" uniqueCount="47">
  <si>
    <t>fecha</t>
  </si>
  <si>
    <t>cuenta</t>
  </si>
  <si>
    <t>nombre_cuenta</t>
  </si>
  <si>
    <t>tercero</t>
  </si>
  <si>
    <t>valor</t>
  </si>
  <si>
    <t>Julio</t>
  </si>
  <si>
    <t>Comercio al por mayor</t>
  </si>
  <si>
    <t>Agosto</t>
  </si>
  <si>
    <t>Panaderia El Trigal</t>
  </si>
  <si>
    <t>Septiembre</t>
  </si>
  <si>
    <t>Distribuciones Munoz</t>
  </si>
  <si>
    <t>Cafeteria La Esquina</t>
  </si>
  <si>
    <t>Trimestre</t>
  </si>
  <si>
    <t>Devoluciones en ventas</t>
  </si>
  <si>
    <t>Costo de ventas</t>
  </si>
  <si>
    <t>Varios</t>
  </si>
  <si>
    <t>Gastos de personal administracion</t>
  </si>
  <si>
    <t>Nomina</t>
  </si>
  <si>
    <t>Gastos de personal ventas</t>
  </si>
  <si>
    <t>FECHA INICIO</t>
  </si>
  <si>
    <t>Ingresos operacionales</t>
  </si>
  <si>
    <t>Honorarios</t>
  </si>
  <si>
    <t>Contador Externo</t>
  </si>
  <si>
    <t>Arrendamientos</t>
  </si>
  <si>
    <t>Inmobiliaria Andes</t>
  </si>
  <si>
    <t>Servicios</t>
  </si>
  <si>
    <t>Empresas Publicas</t>
  </si>
  <si>
    <t>Depreciaciones</t>
  </si>
  <si>
    <t>Ajuste mensual</t>
  </si>
  <si>
    <t>Gastos financieros</t>
  </si>
  <si>
    <t>Banco Bogota</t>
  </si>
  <si>
    <t>Almacenes Jose Leon</t>
  </si>
  <si>
    <t>Comercializadora Pena</t>
  </si>
  <si>
    <t>Equipo de oficina</t>
  </si>
  <si>
    <t>Computadores SAS</t>
  </si>
  <si>
    <t>Proveedores nacionales</t>
  </si>
  <si>
    <t>TOTAL</t>
  </si>
  <si>
    <t>PYL</t>
  </si>
  <si>
    <t>FECHA FINAL</t>
  </si>
  <si>
    <t>Ingresos netos</t>
  </si>
  <si>
    <t>UTILIDAD BRUTA</t>
  </si>
  <si>
    <t>Gastos de administración</t>
  </si>
  <si>
    <t>Gastos de ventas</t>
  </si>
  <si>
    <t>UTILIDAD OPERACIONAL</t>
  </si>
  <si>
    <t>UTILIDAD NETA</t>
  </si>
  <si>
    <t>MAYOR</t>
  </si>
  <si>
    <t>DIFERENCIA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</si>
</sst>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9FC5E8"/>
        <bgColor rgb="FF9FC5E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/>
    </xf>
    <xf borderId="1" fillId="0" fontId="2" numFmtId="164" xfId="0" applyAlignment="1" applyBorder="1" applyFont="1" applyNumberFormat="1">
      <alignment readingOrder="0"/>
    </xf>
    <xf borderId="1" fillId="0" fontId="2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1" fillId="2" fontId="2" numFmtId="0" xfId="0" applyAlignment="1" applyBorder="1" applyFill="1" applyFont="1">
      <alignment readingOrder="0"/>
    </xf>
    <xf borderId="1" fillId="0" fontId="2" numFmtId="3" xfId="0" applyBorder="1" applyFont="1" applyNumberFormat="1"/>
    <xf borderId="1" fillId="3" fontId="2" numFmtId="0" xfId="0" applyAlignment="1" applyBorder="1" applyFill="1" applyFont="1">
      <alignment readingOrder="0"/>
    </xf>
    <xf borderId="1" fillId="0" fontId="2" numFmtId="0" xfId="0" applyBorder="1" applyFont="1"/>
    <xf borderId="1" fillId="0" fontId="1" numFmtId="0" xfId="0" applyAlignment="1" applyBorder="1" applyFont="1">
      <alignment readingOrder="0"/>
    </xf>
    <xf borderId="1" fillId="0" fontId="1" numFmtId="3" xfId="0" applyBorder="1" applyFont="1" applyNumberFormat="1"/>
    <xf borderId="0" fillId="0" fontId="2" numFmtId="3" xfId="0" applyAlignment="1" applyFont="1" applyNumberFormat="1">
      <alignment readingOrder="0"/>
    </xf>
    <xf borderId="0" fillId="0" fontId="2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3.75"/>
    <col customWidth="1" min="4" max="4" width="21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3">
        <v>46208.0</v>
      </c>
      <c r="B2" s="4">
        <v>4135.0</v>
      </c>
      <c r="C2" s="4" t="s">
        <v>6</v>
      </c>
      <c r="D2" s="4" t="s">
        <v>8</v>
      </c>
      <c r="E2" s="4">
        <v>4.5E7</v>
      </c>
    </row>
    <row r="3">
      <c r="A3" s="3">
        <v>46217.0</v>
      </c>
      <c r="B3" s="4">
        <v>4135.0</v>
      </c>
      <c r="C3" s="4" t="s">
        <v>6</v>
      </c>
      <c r="D3" s="4" t="s">
        <v>10</v>
      </c>
      <c r="E3" s="4">
        <v>3.8E7</v>
      </c>
    </row>
    <row r="4">
      <c r="A4" s="3">
        <v>46231.0</v>
      </c>
      <c r="B4" s="4">
        <v>4135.0</v>
      </c>
      <c r="C4" s="4" t="s">
        <v>6</v>
      </c>
      <c r="D4" s="4" t="s">
        <v>11</v>
      </c>
      <c r="E4" s="4">
        <v>2.2E7</v>
      </c>
    </row>
    <row r="5">
      <c r="A5" s="3">
        <v>46233.0</v>
      </c>
      <c r="B5" s="4">
        <v>4175.0</v>
      </c>
      <c r="C5" s="4" t="s">
        <v>13</v>
      </c>
      <c r="D5" s="4" t="s">
        <v>8</v>
      </c>
      <c r="E5" s="4">
        <v>-2000000.0</v>
      </c>
    </row>
    <row r="6">
      <c r="A6" s="3">
        <v>46234.0</v>
      </c>
      <c r="B6" s="4">
        <v>6135.0</v>
      </c>
      <c r="C6" s="4" t="s">
        <v>14</v>
      </c>
      <c r="D6" s="4" t="s">
        <v>15</v>
      </c>
      <c r="E6" s="4">
        <v>-6.3E7</v>
      </c>
    </row>
    <row r="7">
      <c r="A7" s="3">
        <v>46234.0</v>
      </c>
      <c r="B7" s="4">
        <v>5105.0</v>
      </c>
      <c r="C7" s="4" t="s">
        <v>16</v>
      </c>
      <c r="D7" s="4" t="s">
        <v>17</v>
      </c>
      <c r="E7" s="4">
        <v>-1.2E7</v>
      </c>
    </row>
    <row r="8">
      <c r="A8" s="3">
        <v>46234.0</v>
      </c>
      <c r="B8" s="4">
        <v>5205.0</v>
      </c>
      <c r="C8" s="4" t="s">
        <v>18</v>
      </c>
      <c r="D8" s="4" t="s">
        <v>17</v>
      </c>
      <c r="E8" s="4">
        <v>-8000000.0</v>
      </c>
    </row>
    <row r="9">
      <c r="A9" s="3">
        <v>46213.0</v>
      </c>
      <c r="B9" s="4">
        <v>5110.0</v>
      </c>
      <c r="C9" s="4" t="s">
        <v>21</v>
      </c>
      <c r="D9" s="4" t="s">
        <v>22</v>
      </c>
      <c r="E9" s="4">
        <v>-2500000.0</v>
      </c>
    </row>
    <row r="10">
      <c r="A10" s="3">
        <v>46204.0</v>
      </c>
      <c r="B10" s="4">
        <v>5120.0</v>
      </c>
      <c r="C10" s="4" t="s">
        <v>23</v>
      </c>
      <c r="D10" s="4" t="s">
        <v>24</v>
      </c>
      <c r="E10" s="4">
        <v>-4000000.0</v>
      </c>
    </row>
    <row r="11">
      <c r="A11" s="3">
        <v>46223.0</v>
      </c>
      <c r="B11" s="4">
        <v>5135.0</v>
      </c>
      <c r="C11" s="4" t="s">
        <v>25</v>
      </c>
      <c r="D11" s="4" t="s">
        <v>26</v>
      </c>
      <c r="E11" s="4">
        <v>-1800000.0</v>
      </c>
    </row>
    <row r="12">
      <c r="A12" s="3">
        <v>46234.0</v>
      </c>
      <c r="B12" s="4">
        <v>5160.0</v>
      </c>
      <c r="C12" s="4" t="s">
        <v>27</v>
      </c>
      <c r="D12" s="4" t="s">
        <v>28</v>
      </c>
      <c r="E12" s="4">
        <v>-3000000.0</v>
      </c>
    </row>
    <row r="13">
      <c r="A13" s="3">
        <v>46234.0</v>
      </c>
      <c r="B13" s="4">
        <v>5305.0</v>
      </c>
      <c r="C13" s="4" t="s">
        <v>29</v>
      </c>
      <c r="D13" s="4" t="s">
        <v>30</v>
      </c>
      <c r="E13" s="4">
        <v>-2200000.0</v>
      </c>
    </row>
    <row r="14">
      <c r="A14" s="3">
        <v>46238.0</v>
      </c>
      <c r="B14" s="4">
        <v>4135.0</v>
      </c>
      <c r="C14" s="4" t="s">
        <v>6</v>
      </c>
      <c r="D14" s="4" t="s">
        <v>31</v>
      </c>
      <c r="E14" s="4">
        <v>5.2E7</v>
      </c>
    </row>
    <row r="15">
      <c r="A15" s="3">
        <v>46252.0</v>
      </c>
      <c r="B15" s="4">
        <v>4135.0</v>
      </c>
      <c r="C15" s="4" t="s">
        <v>6</v>
      </c>
      <c r="D15" s="4" t="s">
        <v>32</v>
      </c>
      <c r="E15" s="4">
        <v>4.1E7</v>
      </c>
    </row>
    <row r="16">
      <c r="A16" s="3">
        <v>46260.0</v>
      </c>
      <c r="B16" s="4">
        <v>4135.0</v>
      </c>
      <c r="C16" s="4" t="s">
        <v>6</v>
      </c>
      <c r="D16" s="4" t="s">
        <v>11</v>
      </c>
      <c r="E16" s="4">
        <v>1.9E7</v>
      </c>
    </row>
    <row r="17">
      <c r="A17" s="3">
        <v>46256.0</v>
      </c>
      <c r="B17" s="4">
        <v>4135.0</v>
      </c>
      <c r="C17" s="4" t="s">
        <v>6</v>
      </c>
      <c r="D17" s="4" t="s">
        <v>10</v>
      </c>
      <c r="E17" s="4">
        <v>8000000.0</v>
      </c>
    </row>
    <row r="18">
      <c r="A18" s="3">
        <v>46263.0</v>
      </c>
      <c r="B18" s="4">
        <v>4175.0</v>
      </c>
      <c r="C18" s="4" t="s">
        <v>13</v>
      </c>
      <c r="D18" s="4" t="s">
        <v>32</v>
      </c>
      <c r="E18" s="4">
        <v>-3500000.0</v>
      </c>
    </row>
    <row r="19">
      <c r="A19" s="3">
        <v>46265.0</v>
      </c>
      <c r="B19" s="4">
        <v>6135.0</v>
      </c>
      <c r="C19" s="4" t="s">
        <v>14</v>
      </c>
      <c r="D19" s="4" t="s">
        <v>15</v>
      </c>
      <c r="E19" s="4">
        <v>-6.8E7</v>
      </c>
    </row>
    <row r="20">
      <c r="A20" s="3">
        <v>46265.0</v>
      </c>
      <c r="B20" s="4">
        <v>5105.0</v>
      </c>
      <c r="C20" s="4" t="s">
        <v>16</v>
      </c>
      <c r="D20" s="4" t="s">
        <v>17</v>
      </c>
      <c r="E20" s="4">
        <v>-1.2E7</v>
      </c>
    </row>
    <row r="21">
      <c r="A21" s="3">
        <v>46265.0</v>
      </c>
      <c r="B21" s="4">
        <v>5205.0</v>
      </c>
      <c r="C21" s="4" t="s">
        <v>18</v>
      </c>
      <c r="D21" s="4" t="s">
        <v>17</v>
      </c>
      <c r="E21" s="4">
        <v>-8000000.0</v>
      </c>
    </row>
    <row r="22">
      <c r="A22" s="3">
        <v>46244.0</v>
      </c>
      <c r="B22" s="4">
        <v>5110.0</v>
      </c>
      <c r="C22" s="4" t="s">
        <v>21</v>
      </c>
      <c r="D22" s="4" t="s">
        <v>22</v>
      </c>
      <c r="E22" s="4">
        <v>-2500000.0</v>
      </c>
    </row>
    <row r="23">
      <c r="A23" s="3">
        <v>46235.0</v>
      </c>
      <c r="B23" s="4">
        <v>5120.0</v>
      </c>
      <c r="C23" s="4" t="s">
        <v>23</v>
      </c>
      <c r="D23" s="4" t="s">
        <v>24</v>
      </c>
      <c r="E23" s="4">
        <v>-4000000.0</v>
      </c>
    </row>
    <row r="24">
      <c r="A24" s="3">
        <v>46254.0</v>
      </c>
      <c r="B24" s="4">
        <v>5135.0</v>
      </c>
      <c r="C24" s="4" t="s">
        <v>25</v>
      </c>
      <c r="D24" s="4" t="s">
        <v>26</v>
      </c>
      <c r="E24" s="4">
        <v>-2100000.0</v>
      </c>
    </row>
    <row r="25">
      <c r="A25" s="3">
        <v>46265.0</v>
      </c>
      <c r="B25" s="4">
        <v>5160.0</v>
      </c>
      <c r="C25" s="4" t="s">
        <v>27</v>
      </c>
      <c r="D25" s="4" t="s">
        <v>28</v>
      </c>
      <c r="E25" s="4">
        <v>-3000000.0</v>
      </c>
    </row>
    <row r="26">
      <c r="A26" s="3">
        <v>46265.0</v>
      </c>
      <c r="B26" s="4">
        <v>5305.0</v>
      </c>
      <c r="C26" s="4" t="s">
        <v>29</v>
      </c>
      <c r="D26" s="4" t="s">
        <v>30</v>
      </c>
      <c r="E26" s="4">
        <v>-2400000.0</v>
      </c>
    </row>
    <row r="27">
      <c r="A27" s="3">
        <v>46246.0</v>
      </c>
      <c r="B27" s="4">
        <v>1524.0</v>
      </c>
      <c r="C27" s="4" t="s">
        <v>33</v>
      </c>
      <c r="D27" s="4" t="s">
        <v>34</v>
      </c>
      <c r="E27" s="6">
        <v>-1.5E7</v>
      </c>
    </row>
    <row r="28">
      <c r="A28" s="3">
        <v>46268.0</v>
      </c>
      <c r="B28" s="4">
        <v>4135.0</v>
      </c>
      <c r="C28" s="4" t="s">
        <v>6</v>
      </c>
      <c r="D28" s="4" t="s">
        <v>8</v>
      </c>
      <c r="E28" s="4">
        <v>4.8E7</v>
      </c>
    </row>
    <row r="29">
      <c r="A29" s="3">
        <v>46281.0</v>
      </c>
      <c r="B29" s="4">
        <v>4135.0</v>
      </c>
      <c r="C29" s="4" t="s">
        <v>6</v>
      </c>
      <c r="D29" s="4" t="s">
        <v>10</v>
      </c>
      <c r="E29" s="4">
        <v>3.5E7</v>
      </c>
    </row>
    <row r="30">
      <c r="A30" s="3">
        <v>46292.0</v>
      </c>
      <c r="B30" s="4">
        <v>4135.0</v>
      </c>
      <c r="C30" s="4" t="s">
        <v>6</v>
      </c>
      <c r="D30" s="4" t="s">
        <v>31</v>
      </c>
      <c r="E30" s="4">
        <v>2.5E7</v>
      </c>
    </row>
    <row r="31">
      <c r="A31" s="3">
        <v>46295.0</v>
      </c>
      <c r="B31" s="4">
        <v>4175.0</v>
      </c>
      <c r="C31" s="4" t="s">
        <v>13</v>
      </c>
      <c r="D31" s="4" t="s">
        <v>11</v>
      </c>
      <c r="E31" s="4">
        <v>-1200000.0</v>
      </c>
    </row>
    <row r="32">
      <c r="A32" s="3">
        <v>46295.0</v>
      </c>
      <c r="B32" s="4">
        <v>6135.0</v>
      </c>
      <c r="C32" s="4" t="s">
        <v>14</v>
      </c>
      <c r="D32" s="4" t="s">
        <v>15</v>
      </c>
      <c r="E32" s="4">
        <v>-6.4E7</v>
      </c>
    </row>
    <row r="33">
      <c r="A33" s="3">
        <v>46295.0</v>
      </c>
      <c r="B33" s="4">
        <v>5105.0</v>
      </c>
      <c r="C33" s="4" t="s">
        <v>16</v>
      </c>
      <c r="D33" s="4" t="s">
        <v>17</v>
      </c>
      <c r="E33" s="4">
        <v>-1.25E7</v>
      </c>
    </row>
    <row r="34">
      <c r="A34" s="3">
        <v>46295.0</v>
      </c>
      <c r="B34" s="4">
        <v>5205.0</v>
      </c>
      <c r="C34" s="4" t="s">
        <v>18</v>
      </c>
      <c r="D34" s="4" t="s">
        <v>17</v>
      </c>
      <c r="E34" s="4">
        <v>-8400000.0</v>
      </c>
    </row>
    <row r="35">
      <c r="A35" s="3">
        <v>46275.0</v>
      </c>
      <c r="B35" s="4">
        <v>5110.0</v>
      </c>
      <c r="C35" s="4" t="s">
        <v>21</v>
      </c>
      <c r="D35" s="4" t="s">
        <v>22</v>
      </c>
      <c r="E35" s="4">
        <v>-2500000.0</v>
      </c>
    </row>
    <row r="36">
      <c r="A36" s="3">
        <v>46266.0</v>
      </c>
      <c r="B36" s="4">
        <v>5120.0</v>
      </c>
      <c r="C36" s="4" t="s">
        <v>23</v>
      </c>
      <c r="D36" s="4" t="s">
        <v>24</v>
      </c>
      <c r="E36" s="4">
        <v>-4000000.0</v>
      </c>
    </row>
    <row r="37">
      <c r="A37" s="3">
        <v>46285.0</v>
      </c>
      <c r="B37" s="4">
        <v>5135.0</v>
      </c>
      <c r="C37" s="4" t="s">
        <v>25</v>
      </c>
      <c r="D37" s="4" t="s">
        <v>26</v>
      </c>
      <c r="E37" s="4">
        <v>-1950000.0</v>
      </c>
    </row>
    <row r="38">
      <c r="A38" s="3">
        <v>46295.0</v>
      </c>
      <c r="B38" s="4">
        <v>5160.0</v>
      </c>
      <c r="C38" s="4" t="s">
        <v>27</v>
      </c>
      <c r="D38" s="4" t="s">
        <v>28</v>
      </c>
      <c r="E38" s="4">
        <v>-3000000.0</v>
      </c>
    </row>
    <row r="39">
      <c r="A39" s="3">
        <v>46295.0</v>
      </c>
      <c r="B39" s="4">
        <v>5305.0</v>
      </c>
      <c r="C39" s="4" t="s">
        <v>29</v>
      </c>
      <c r="D39" s="4" t="s">
        <v>30</v>
      </c>
      <c r="E39" s="4">
        <v>-2600000.0</v>
      </c>
    </row>
    <row r="40">
      <c r="A40" s="3">
        <v>46290.0</v>
      </c>
      <c r="B40" s="4">
        <v>2205.0</v>
      </c>
      <c r="C40" s="4" t="s">
        <v>35</v>
      </c>
      <c r="D40" s="4" t="s">
        <v>15</v>
      </c>
      <c r="E40" s="8">
        <v>-2.0E7</v>
      </c>
    </row>
    <row r="41">
      <c r="D41" s="4" t="s">
        <v>36</v>
      </c>
      <c r="E41" s="9">
        <f>SUM(E2:E40)</f>
        <v>-6150000</v>
      </c>
    </row>
    <row r="42">
      <c r="D42" s="4" t="s">
        <v>37</v>
      </c>
      <c r="E42" s="9">
        <f>E41-E27-E40</f>
        <v>28850000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38"/>
  </cols>
  <sheetData>
    <row r="1">
      <c r="A1" s="2"/>
      <c r="B1" s="1" t="s">
        <v>5</v>
      </c>
      <c r="C1" s="1" t="s">
        <v>7</v>
      </c>
      <c r="D1" s="1" t="s">
        <v>9</v>
      </c>
      <c r="E1" s="1" t="s">
        <v>12</v>
      </c>
      <c r="F1" s="5"/>
      <c r="G1" s="4" t="s">
        <v>19</v>
      </c>
      <c r="H1" s="3">
        <v>46204.0</v>
      </c>
      <c r="I1" s="3">
        <v>46235.0</v>
      </c>
      <c r="J1" s="3">
        <v>46266.0</v>
      </c>
    </row>
    <row r="2">
      <c r="A2" s="4" t="s">
        <v>20</v>
      </c>
      <c r="B2" s="7">
        <f>SUMIFS(MAYOR!$E$2:$E$40,MAYOR!$B$2:$B$40,"4135",MAYOR!$A$2:$A$40,"&gt;="&amp;H$1,MAYOR!$A$2:$A$40,"&lt;="&amp;H$2)</f>
        <v>105000000</v>
      </c>
      <c r="C2" s="7">
        <f>SUMIFS(MAYOR!$E$2:$E$40,MAYOR!$B$2:$B$40,"4135",MAYOR!$A$2:$A$40,"&gt;="&amp;I$1,MAYOR!$A$2:$A$40,"&lt;="&amp;I$2)</f>
        <v>120000000</v>
      </c>
      <c r="D2" s="7">
        <f>SUMIFS(MAYOR!$E$2:$E$40,MAYOR!$B$2:$B$40,"4135",MAYOR!$A$2:$A$40,"&gt;="&amp;J$1,MAYOR!$A$2:$A$40,"&lt;="&amp;J$2)</f>
        <v>108000000</v>
      </c>
      <c r="E2" s="7">
        <f t="shared" ref="E2:E3" si="1">SUM(B2:D2)</f>
        <v>333000000</v>
      </c>
      <c r="F2" s="5"/>
      <c r="G2" s="4" t="s">
        <v>38</v>
      </c>
      <c r="H2" s="3">
        <v>46234.0</v>
      </c>
      <c r="I2" s="3">
        <v>46265.0</v>
      </c>
      <c r="J2" s="3">
        <v>46295.0</v>
      </c>
    </row>
    <row r="3">
      <c r="A3" s="4" t="s">
        <v>13</v>
      </c>
      <c r="B3" s="7">
        <f>SUMIFS(MAYOR!$E$2:$E$40,MAYOR!$B$2:$B$40,"4175",MAYOR!$A$2:$A$40,"&gt;="&amp;H$1,MAYOR!A3:A41,"&lt;="&amp;H$2)</f>
        <v>-2000000</v>
      </c>
      <c r="C3" s="7">
        <f>SUMIFS(MAYOR!$E$2:$E$40,MAYOR!$B$2:$B$40,"4175",MAYOR!$A$2:$A$40,"&gt;="&amp;I$1,MAYOR!$A$3:$A$41,"&lt;="&amp;I$2)</f>
        <v>-3500000</v>
      </c>
      <c r="D3" s="7">
        <f>SUMIFS(MAYOR!$E$2:$E$40,MAYOR!$B$2:$B$40,"4175",MAYOR!$A$2:$A$40,"&gt;="&amp;J$1,MAYOR!$A$3:$A$41,"&lt;="&amp;J$2)</f>
        <v>-1200000</v>
      </c>
      <c r="E3" s="7">
        <f t="shared" si="1"/>
        <v>-6700000</v>
      </c>
    </row>
    <row r="4">
      <c r="A4" s="10" t="s">
        <v>39</v>
      </c>
      <c r="B4" s="11">
        <f t="shared" ref="B4:E4" si="2">B2+B3</f>
        <v>103000000</v>
      </c>
      <c r="C4" s="11">
        <f t="shared" si="2"/>
        <v>116500000</v>
      </c>
      <c r="D4" s="11">
        <f t="shared" si="2"/>
        <v>106800000</v>
      </c>
      <c r="E4" s="11">
        <f t="shared" si="2"/>
        <v>326300000</v>
      </c>
    </row>
    <row r="5">
      <c r="A5" s="4" t="s">
        <v>14</v>
      </c>
      <c r="B5" s="7">
        <f>SUMIFS(MAYOR!E2:E40,MAYOR!B2:B40,"6135",MAYOR!A2:A40,"&gt;="&amp;H1,MAYOR!A2:A40,"&lt;="&amp;H2)</f>
        <v>-63000000</v>
      </c>
      <c r="C5" s="7">
        <f>SUMIFS(MAYOR!$E$2:$E$40,MAYOR!$B$2:$B$40,"6135",MAYOR!$A$2:$A$40,"&gt;="&amp;I$1,MAYOR!$A$2:$A$40,"&lt;="&amp;I$2)</f>
        <v>-68000000</v>
      </c>
      <c r="D5" s="7">
        <f>SUMIFS(MAYOR!$E$2:$E$40,MAYOR!$B$2:$B$40,"6135",MAYOR!$A$2:$A$40,"&gt;="&amp;J$1,MAYOR!$A$2:$A$40,"&lt;="&amp;J$2)</f>
        <v>-64000000</v>
      </c>
      <c r="E5" s="7">
        <f>SUM(B5:D5)</f>
        <v>-195000000</v>
      </c>
      <c r="G5" s="12"/>
    </row>
    <row r="6">
      <c r="A6" s="10" t="s">
        <v>40</v>
      </c>
      <c r="B6" s="11">
        <f t="shared" ref="B6:E6" si="3">B4+B5</f>
        <v>40000000</v>
      </c>
      <c r="C6" s="11">
        <f t="shared" si="3"/>
        <v>48500000</v>
      </c>
      <c r="D6" s="11">
        <f t="shared" si="3"/>
        <v>42800000</v>
      </c>
      <c r="E6" s="11">
        <f t="shared" si="3"/>
        <v>131300000</v>
      </c>
    </row>
    <row r="7">
      <c r="A7" s="4" t="s">
        <v>41</v>
      </c>
      <c r="B7" s="7">
        <f>SUMIFS(MAYOR!$E$2:$E$40,MAYOR!$B$2:$B$40,5105,MAYOR!$A$2:$A$40,"&gt;="&amp;H$1,MAYOR!$A$2:$A$40,"&lt;="&amp;H$2)+SUMIFS(MAYOR!$E$2:$E$40,MAYOR!$B$2:$B$40,5110,MAYOR!$A$2:$A$40,"&gt;="&amp;H$1,MAYOR!$A$2:$A$40,"&lt;="&amp;H$2)+SUMIFS(MAYOR!$E$2:$E$40,MAYOR!$B$2:$B$40,5120,MAYOR!$A$2:$A$40,"&gt;="&amp;H$1,MAYOR!$A$2:$A$40,"&lt;="&amp;H$2)+SUMIFS(MAYOR!$E$2:$E$40,MAYOR!$B$2:$B$40,5135,MAYOR!$A$2:$A$40,"&gt;="&amp;H$1,MAYOR!$A$2:$A$40,"&lt;="&amp;H$2)+SUMIFS(MAYOR!$E$2:$E$40,MAYOR!$B$2:$B$40,5160,MAYOR!$A$2:$A$40,"&gt;="&amp;H$1,MAYOR!$A$2:$A$40,"&lt;="&amp;H$2)</f>
        <v>-23300000</v>
      </c>
      <c r="C7" s="7">
        <f>SUMIFS(MAYOR!$E$2:$E$40,MAYOR!$B$2:$B$40,5105,MAYOR!$A$2:$A$40,"&gt;="&amp;I$1,MAYOR!$A$2:$A$40,"&lt;="&amp;I$2)+SUMIFS(MAYOR!$E$2:$E$40,MAYOR!$B$2:$B$40,5110,MAYOR!$A$2:$A$40,"&gt;="&amp;I$1,MAYOR!$A$2:$A$40,"&lt;="&amp;I$2)+SUMIFS(MAYOR!$E$2:$E$40,MAYOR!$B$2:$B$40,5120,MAYOR!$A$2:$A$40,"&gt;="&amp;I$1,MAYOR!$A$2:$A$40,"&lt;="&amp;I$2)+SUMIFS(MAYOR!$E$2:$E$40,MAYOR!$B$2:$B$40,5135,MAYOR!$A$2:$A$40,"&gt;="&amp;I$1,MAYOR!$A$2:$A$40,"&lt;="&amp;I$2)+SUMIFS(MAYOR!$E$2:$E$40,MAYOR!$B$2:$B$40,5160,MAYOR!$A$2:$A$40,"&gt;="&amp;I$1,MAYOR!$A$2:$A$40,"&lt;="&amp;I$2)</f>
        <v>-23600000</v>
      </c>
      <c r="D7" s="7">
        <f>SUMIFS(MAYOR!$E$2:$E$40,MAYOR!$B$2:$B$40,5105,MAYOR!$A$2:$A$40,"&gt;="&amp;J$1,MAYOR!$A$2:$A$40,"&lt;="&amp;J$2)+SUMIFS(MAYOR!$E$2:$E$40,MAYOR!$B$2:$B$40,5110,MAYOR!$A$2:$A$40,"&gt;="&amp;J$1,MAYOR!$A$2:$A$40,"&lt;="&amp;J$2)+SUMIFS(MAYOR!$E$2:$E$40,MAYOR!$B$2:$B$40,5120,MAYOR!$A$2:$A$40,"&gt;="&amp;J$1,MAYOR!$A$2:$A$40,"&lt;="&amp;J$2)+SUMIFS(MAYOR!$E$2:$E$40,MAYOR!$B$2:$B$40,5135,MAYOR!$A$2:$A$40,"&gt;="&amp;J$1,MAYOR!$A$2:$A$40,"&lt;="&amp;J$2)+SUMIFS(MAYOR!$E$2:$E$40,MAYOR!$B$2:$B$40,5160,MAYOR!$A$2:$A$40,"&gt;="&amp;J$1,MAYOR!$A$2:$A$40,"&lt;="&amp;J$2)</f>
        <v>-23950000</v>
      </c>
      <c r="E7" s="7">
        <f t="shared" ref="E7:E8" si="4">SUM(B7:D7)</f>
        <v>-70850000</v>
      </c>
    </row>
    <row r="8">
      <c r="A8" s="4" t="s">
        <v>42</v>
      </c>
      <c r="B8" s="7">
        <f>SUMIFS(MAYOR!$E$2:$E$40,MAYOR!$B$2:$B$40,5205,MAYOR!$A$2:$A$40,"&gt;="&amp;H1,MAYOR!$A$2:$A$40,"&lt;="&amp;H2)</f>
        <v>-8000000</v>
      </c>
      <c r="C8" s="7">
        <f>SUMIFS(MAYOR!$E$2:$E$40,MAYOR!$B$2:$B$40,5205,MAYOR!$A$2:$A$40,"&gt;="&amp;I1,MAYOR!$A$2:$A$40,"&lt;="&amp;I2)</f>
        <v>-8000000</v>
      </c>
      <c r="D8" s="7">
        <f>SUMIFS(MAYOR!$E$2:$E$40,MAYOR!$B$2:$B$40,5205,MAYOR!$A$2:$A$40,"&gt;="&amp;J1,MAYOR!$A$2:$A$40,"&lt;="&amp;J2)</f>
        <v>-8400000</v>
      </c>
      <c r="E8" s="7">
        <f t="shared" si="4"/>
        <v>-24400000</v>
      </c>
    </row>
    <row r="9">
      <c r="A9" s="10" t="s">
        <v>43</v>
      </c>
      <c r="B9" s="11">
        <f t="shared" ref="B9:E9" si="5">B6+B7+B8</f>
        <v>8700000</v>
      </c>
      <c r="C9" s="11">
        <f t="shared" si="5"/>
        <v>16900000</v>
      </c>
      <c r="D9" s="11">
        <f t="shared" si="5"/>
        <v>10450000</v>
      </c>
      <c r="E9" s="11">
        <f t="shared" si="5"/>
        <v>36050000</v>
      </c>
    </row>
    <row r="10">
      <c r="A10" s="4" t="s">
        <v>29</v>
      </c>
      <c r="B10" s="7">
        <f>SUMIFS(MAYOR!$E$2:$E$40,MAYOR!$B$2:$B$40,5305,MAYOR!$A$2:$A$40,"&gt;="&amp;H1,MAYOR!$A$2:$A$40,"&lt;="&amp;H2)</f>
        <v>-2200000</v>
      </c>
      <c r="C10" s="7">
        <f>SUMIFS(MAYOR!$E$2:$E$40,MAYOR!$B$2:$B$40,5305,MAYOR!$A$2:$A$40,"&gt;="&amp;I1,MAYOR!$A$2:$A$40,"&lt;="&amp;I2)</f>
        <v>-2400000</v>
      </c>
      <c r="D10" s="7">
        <f>SUMIFS(MAYOR!$E$2:$E$40,MAYOR!$B$2:$B$40,5305,MAYOR!$A$2:$A$40,"&gt;="&amp;J1,MAYOR!$A$2:$A$40,"&lt;="&amp;J2)</f>
        <v>-2600000</v>
      </c>
      <c r="E10" s="7">
        <f>SUM(B10:D10)</f>
        <v>-7200000</v>
      </c>
    </row>
    <row r="11">
      <c r="A11" s="10" t="s">
        <v>44</v>
      </c>
      <c r="B11" s="11">
        <f t="shared" ref="B11:E11" si="6">B9+B10</f>
        <v>6500000</v>
      </c>
      <c r="C11" s="11">
        <f t="shared" si="6"/>
        <v>14500000</v>
      </c>
      <c r="D11" s="11">
        <f t="shared" si="6"/>
        <v>7850000</v>
      </c>
      <c r="E11" s="11">
        <f t="shared" si="6"/>
        <v>28850000</v>
      </c>
      <c r="F11" s="13"/>
    </row>
    <row r="12">
      <c r="D12" s="4" t="s">
        <v>45</v>
      </c>
      <c r="E12" s="7">
        <f>MAYOR!E42</f>
        <v>28850000</v>
      </c>
      <c r="F12" s="7">
        <f>E11-E12</f>
        <v>0</v>
      </c>
      <c r="G12" s="4" t="s">
        <v>46</v>
      </c>
    </row>
  </sheetData>
  <drawing r:id="rId1"/>
</worksheet>
</file>